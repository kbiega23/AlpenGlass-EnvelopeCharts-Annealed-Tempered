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pencustomersupport.sharepoint.com/sites/GlassProgram2/Shared Documents/AlpenGlass Channel/00. Product Info/AlpenGlass Catalog &amp; Pricing/Catalog/"/>
    </mc:Choice>
  </mc:AlternateContent>
  <xr:revisionPtr revIDLastSave="8" documentId="8_{D9B3B404-6EAC-4B93-9776-A14041F4A32A}" xr6:coauthVersionLast="47" xr6:coauthVersionMax="47" xr10:uidLastSave="{C5C9B9DE-B190-4FEA-9E2A-F2E6FDB7B024}"/>
  <bookViews>
    <workbookView xWindow="28680" yWindow="-120" windowWidth="29040" windowHeight="15720" xr2:uid="{3B798C6C-F77F-4AFD-8CF8-D88FE96A59C4}"/>
  </bookViews>
  <sheets>
    <sheet name="tempered" sheetId="1" r:id="rId1"/>
    <sheet name="anneal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2" i="1"/>
  <c r="K13" i="1"/>
  <c r="F11" i="1"/>
  <c r="F12" i="1"/>
  <c r="F13" i="1"/>
  <c r="K2" i="1"/>
  <c r="K3" i="1"/>
  <c r="K4" i="1"/>
  <c r="K5" i="1"/>
  <c r="K6" i="1"/>
  <c r="K7" i="1"/>
  <c r="K8" i="1"/>
  <c r="K9" i="1"/>
  <c r="K10" i="1"/>
  <c r="F3" i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<sst xmlns="http://schemas.openxmlformats.org/spreadsheetml/2006/main" count="96" uniqueCount="34">
  <si>
    <t>Tempered or Annealed</t>
  </si>
  <si>
    <t>Tempered</t>
  </si>
  <si>
    <t>Name</t>
  </si>
  <si>
    <t>3mm-0.5mm-3mm</t>
  </si>
  <si>
    <t>3mm-1.1mm-3mm</t>
  </si>
  <si>
    <t>3mm-1.3mm-3mm</t>
  </si>
  <si>
    <t>5mm-0.5mm-5mm</t>
  </si>
  <si>
    <t>5mm-1.1mm-5mm</t>
  </si>
  <si>
    <t>5mm-1.3mm-5mm</t>
  </si>
  <si>
    <t>6mm-0.5mm-6mm</t>
  </si>
  <si>
    <t>6mm-1.1mm-6mm</t>
  </si>
  <si>
    <t>6mm-1.3mm-6mm</t>
  </si>
  <si>
    <t>Outer Lites</t>
  </si>
  <si>
    <t>CoreRange_ maxlongedge_inches</t>
  </si>
  <si>
    <t>CoreRange_maxshortedge_inches</t>
  </si>
  <si>
    <t>CoreRange_MaxArea_squarefeet</t>
  </si>
  <si>
    <t>Technical_limit_MaxArea_squarefeet</t>
  </si>
  <si>
    <t>Technical_limit_longedge_inches</t>
  </si>
  <si>
    <t>Technical_limit_shortedge_inches</t>
  </si>
  <si>
    <t>Panes</t>
  </si>
  <si>
    <t>Triple</t>
  </si>
  <si>
    <t>Inner Lite(s)</t>
  </si>
  <si>
    <t>Annealed</t>
  </si>
  <si>
    <t>CoreRange_maxedge_inches</t>
  </si>
  <si>
    <t>Technical_limit_maxedge_inches</t>
  </si>
  <si>
    <t>Technical_limit_longedge_inches_tier2</t>
  </si>
  <si>
    <t>Technical_limit_shortedge_inches_tier2</t>
  </si>
  <si>
    <t>CoreRange_ maxlongedge_inches_tier2</t>
  </si>
  <si>
    <t>CoreRange_maxshortedge_inches_tier2</t>
  </si>
  <si>
    <t>MaxArea_Core_squarefeet</t>
  </si>
  <si>
    <t>MaxArea_Technical_limit_squarefeet</t>
  </si>
  <si>
    <t>4mm-0.5mm-4mm</t>
  </si>
  <si>
    <t>4mm-1.1mm-4mm</t>
  </si>
  <si>
    <t>4mm-1.3mm-4mm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</si>
</sst>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1" xfId="0" applyNumberFormat="1" applyBorder="1"/>
    <xf numFmtId="0" fontId="1" fillId="2" borderId="4" xfId="0" applyFont="1" applyFill="1" applyBorder="1"/>
    <xf numFmtId="1" fontId="0" fillId="0" borderId="1" xfId="0" applyNumberFormat="1" applyBorder="1"/>
    <xf numFmtId="1" fontId="0" fillId="0" borderId="6" xfId="0" applyNumberFormat="1" applyBorder="1"/>
  </cellXfs>
  <cellStyles count="1">
    <cellStyle name="Normal" xfId="0" builtinId="0"/>
  </cellStyles>
  <dxfs count="32"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4DF495-D360-4BE4-9CD3-E5BDBE991E59}" name="Table1" displayName="Table1" ref="A1:O19" totalsRowShown="0" headerRowDxfId="31" headerRowBorderDxfId="30" tableBorderDxfId="29" totalsRowBorderDxfId="28">
  <autoFilter ref="A1:O19" xr:uid="{104DF495-D360-4BE4-9CD3-E5BDBE991E59}"/>
  <tableColumns count="15">
    <tableColumn id="11" xr3:uid="{550198D4-0C29-473A-9443-F5FB646FFB91}" name="Panes" dataDxfId="27"/>
    <tableColumn id="1" xr3:uid="{E1CE173D-64FC-4C9D-8039-E16D1AA6F58F}" name="Name" dataDxfId="26"/>
    <tableColumn id="2" xr3:uid="{B2FBAAE5-7DE9-444C-9C4B-3C44D9D051A0}" name="Tempered or Annealed" dataDxfId="25"/>
    <tableColumn id="3" xr3:uid="{FEAF74A1-52AA-4BD9-8428-319E233A81D1}" name="Outer Lites" dataDxfId="24"/>
    <tableColumn id="4" xr3:uid="{10DA7476-5F75-41DE-BF9D-4ACDBCFAA4D2}" name="Inner Lite(s)" dataDxfId="23"/>
    <tableColumn id="9" xr3:uid="{9E13ECA2-B6B1-4733-900A-5BE93A8D3345}" name="CoreRange_MaxArea_squarefeet" dataDxfId="22"/>
    <tableColumn id="5" xr3:uid="{1CF541CC-472A-4EE3-B047-98FC92EEAD7C}" name="CoreRange_ maxlongedge_inches" dataDxfId="21"/>
    <tableColumn id="6" xr3:uid="{B12C17A9-713B-4692-8891-55EC65102BE1}" name="CoreRange_maxshortedge_inches" dataDxfId="20"/>
    <tableColumn id="14" xr3:uid="{2492FBDE-94CB-4B22-AEFD-CEFA0854740A}" name="CoreRange_ maxlongedge_inches_tier2" dataDxfId="19"/>
    <tableColumn id="15" xr3:uid="{B310575D-77C2-46A3-AC4E-81586F7E8288}" name="CoreRange_maxshortedge_inches_tier2" dataDxfId="18"/>
    <tableColumn id="10" xr3:uid="{5FB2E640-B19A-436D-89BB-DA5D5C10B21F}" name="Technical_limit_MaxArea_squarefeet" dataDxfId="17">
      <calculatedColumnFormula>Table1[[#This Row],[Technical_limit_longedge_inches]]*Table1[[#This Row],[Technical_limit_shortedge_inches]]/144</calculatedColumnFormula>
    </tableColumn>
    <tableColumn id="7" xr3:uid="{2F19F84F-DDBE-4044-AD2A-B4812AE21CC9}" name="Technical_limit_longedge_inches" dataDxfId="16"/>
    <tableColumn id="8" xr3:uid="{00E9EE44-E0EF-49D8-8234-306F251877DF}" name="Technical_limit_shortedge_inches" dataDxfId="15"/>
    <tableColumn id="12" xr3:uid="{7F24A84B-4321-47CA-88B5-DE6127B6D9E6}" name="Technical_limit_longedge_inches_tier2" dataDxfId="14"/>
    <tableColumn id="13" xr3:uid="{0CD704B8-9C34-48DF-BAC9-1DD4478E6711}" name="Technical_limit_shortedge_inches_tier2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82B8EE-1A9B-4722-8DC6-054E0020B2FE}" name="Table13" displayName="Table13" ref="A1:I19" totalsRowShown="0" headerRowDxfId="12" headerRowBorderDxfId="11" tableBorderDxfId="10" totalsRowBorderDxfId="9">
  <autoFilter ref="A1:I19" xr:uid="{104DF495-D360-4BE4-9CD3-E5BDBE991E59}"/>
  <tableColumns count="9">
    <tableColumn id="11" xr3:uid="{920B46D6-E6AA-4E14-80E5-9C48CF6011B4}" name="Panes" dataDxfId="8"/>
    <tableColumn id="1" xr3:uid="{3862F40A-D609-4AA9-AF61-12AB21239383}" name="Name" dataDxfId="7"/>
    <tableColumn id="2" xr3:uid="{9F9F8FE5-16EB-41CB-BAE9-74495EBE4025}" name="Tempered or Annealed" dataDxfId="6"/>
    <tableColumn id="3" xr3:uid="{05C8CFC6-6C14-471F-9A65-09A0FB8F0225}" name="Outer Lites" dataDxfId="5"/>
    <tableColumn id="4" xr3:uid="{2EF40620-628D-45CC-AADD-580A58C3F245}" name="Inner Lite(s)" dataDxfId="4"/>
    <tableColumn id="9" xr3:uid="{0CE9B3F0-41BB-41AA-A197-03E35105F9A1}" name="MaxArea_Core_squarefeet" dataDxfId="3"/>
    <tableColumn id="5" xr3:uid="{B640588E-3A88-4B56-814C-8D2E42E53342}" name="MaxArea_Technical_limit_squarefeet" dataDxfId="2"/>
    <tableColumn id="6" xr3:uid="{E4426821-3C88-4319-99A4-83C1626CC605}" name="CoreRange_maxedge_inches" dataDxfId="1"/>
    <tableColumn id="10" xr3:uid="{8E4756E0-82B2-4746-9BB1-03A882A38134}" name="Technical_limit_maxedge_inches" dataDxfId="0">
      <calculatedColumnFormula>#REF!*#REF!/144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1BDFF-CB31-40DD-8A3F-BCA0E90AFF04}">
  <dimension ref="A1:O19"/>
  <sheetViews>
    <sheetView tabSelected="1" topLeftCell="G1" workbookViewId="0">
      <selection activeCell="F2" sqref="F2:F13"/>
    </sheetView>
  </sheetViews>
  <sheetFormatPr defaultRowHeight="15" x14ac:dyDescent="0.25"/>
  <cols>
    <col min="2" max="2" width="25" customWidth="1"/>
    <col min="3" max="3" width="23.42578125" customWidth="1"/>
    <col min="4" max="4" width="13.140625" customWidth="1"/>
    <col min="5" max="5" width="15.5703125" customWidth="1"/>
    <col min="6" max="6" width="22.5703125" customWidth="1"/>
    <col min="7" max="7" width="26.42578125" customWidth="1"/>
    <col min="8" max="11" width="26.85546875" customWidth="1"/>
    <col min="12" max="12" width="25.85546875" customWidth="1"/>
    <col min="13" max="13" width="26.7109375" customWidth="1"/>
    <col min="14" max="14" width="43.140625" customWidth="1"/>
    <col min="15" max="15" width="39.28515625" customWidth="1"/>
  </cols>
  <sheetData>
    <row r="1" spans="1:15" x14ac:dyDescent="0.25">
      <c r="A1" s="8" t="s">
        <v>19</v>
      </c>
      <c r="B1" s="3" t="s">
        <v>2</v>
      </c>
      <c r="C1" s="4" t="s">
        <v>0</v>
      </c>
      <c r="D1" s="4" t="s">
        <v>12</v>
      </c>
      <c r="E1" s="1" t="s">
        <v>21</v>
      </c>
      <c r="F1" s="1" t="s">
        <v>15</v>
      </c>
      <c r="G1" s="1" t="s">
        <v>13</v>
      </c>
      <c r="H1" s="1" t="s">
        <v>14</v>
      </c>
      <c r="I1" s="1" t="s">
        <v>27</v>
      </c>
      <c r="J1" s="1" t="s">
        <v>28</v>
      </c>
      <c r="K1" s="1" t="s">
        <v>16</v>
      </c>
      <c r="L1" s="1" t="s">
        <v>17</v>
      </c>
      <c r="M1" s="1" t="s">
        <v>18</v>
      </c>
      <c r="N1" s="1" t="s">
        <v>25</v>
      </c>
      <c r="O1" s="1" t="s">
        <v>26</v>
      </c>
    </row>
    <row r="2" spans="1:15" x14ac:dyDescent="0.25">
      <c r="A2" s="2" t="s">
        <v>20</v>
      </c>
      <c r="B2" s="2" t="s">
        <v>3</v>
      </c>
      <c r="C2" s="1" t="s">
        <v>1</v>
      </c>
      <c r="D2" s="1">
        <v>3</v>
      </c>
      <c r="E2" s="1">
        <v>0.5</v>
      </c>
      <c r="F2" s="7">
        <f>Table1[[#This Row],[CoreRange_ maxlongedge_inches]]*Table1[[#This Row],[CoreRange_maxshortedge_inches]]/144</f>
        <v>20</v>
      </c>
      <c r="G2" s="1">
        <v>80</v>
      </c>
      <c r="H2" s="1">
        <v>36</v>
      </c>
      <c r="I2" s="1"/>
      <c r="J2" s="1"/>
      <c r="K2" s="7">
        <f>Table1[[#This Row],[Technical_limit_longedge_inches]]*Table1[[#This Row],[Technical_limit_shortedge_inches]]/144</f>
        <v>20</v>
      </c>
      <c r="L2" s="1">
        <v>80</v>
      </c>
      <c r="M2" s="1">
        <v>36</v>
      </c>
      <c r="N2" s="1"/>
      <c r="O2" s="1"/>
    </row>
    <row r="3" spans="1:15" x14ac:dyDescent="0.25">
      <c r="A3" s="2" t="s">
        <v>20</v>
      </c>
      <c r="B3" s="2" t="s">
        <v>4</v>
      </c>
      <c r="C3" s="1" t="s">
        <v>1</v>
      </c>
      <c r="D3" s="1">
        <v>3</v>
      </c>
      <c r="E3" s="1">
        <v>1.1000000000000001</v>
      </c>
      <c r="F3" s="7">
        <f>Table1[[#This Row],[CoreRange_ maxlongedge_inches]]*Table1[[#This Row],[CoreRange_maxshortedge_inches]]/144</f>
        <v>20</v>
      </c>
      <c r="G3" s="1">
        <v>80</v>
      </c>
      <c r="H3" s="1">
        <v>36</v>
      </c>
      <c r="I3" s="1"/>
      <c r="J3" s="1"/>
      <c r="K3" s="7">
        <f>Table1[[#This Row],[Technical_limit_longedge_inches]]*Table1[[#This Row],[Technical_limit_shortedge_inches]]/144</f>
        <v>20</v>
      </c>
      <c r="L3" s="1">
        <v>80</v>
      </c>
      <c r="M3" s="1">
        <v>36</v>
      </c>
      <c r="N3" s="1"/>
      <c r="O3" s="1"/>
    </row>
    <row r="4" spans="1:15" x14ac:dyDescent="0.25">
      <c r="A4" s="2" t="s">
        <v>20</v>
      </c>
      <c r="B4" s="2" t="s">
        <v>5</v>
      </c>
      <c r="C4" s="1" t="s">
        <v>1</v>
      </c>
      <c r="D4" s="1">
        <v>3</v>
      </c>
      <c r="E4" s="1">
        <v>1.3</v>
      </c>
      <c r="F4" s="7">
        <f>Table1[[#This Row],[CoreRange_ maxlongedge_inches]]*Table1[[#This Row],[CoreRange_maxshortedge_inches]]/144</f>
        <v>20</v>
      </c>
      <c r="G4" s="1">
        <v>80</v>
      </c>
      <c r="H4" s="1">
        <v>36</v>
      </c>
      <c r="I4" s="1"/>
      <c r="J4" s="1"/>
      <c r="K4" s="7">
        <f>Table1[[#This Row],[Technical_limit_longedge_inches]]*Table1[[#This Row],[Technical_limit_shortedge_inches]]/144</f>
        <v>20</v>
      </c>
      <c r="L4" s="1">
        <v>80</v>
      </c>
      <c r="M4" s="1">
        <v>36</v>
      </c>
      <c r="N4" s="1"/>
      <c r="O4" s="1"/>
    </row>
    <row r="5" spans="1:15" x14ac:dyDescent="0.25">
      <c r="A5" s="2" t="s">
        <v>20</v>
      </c>
      <c r="B5" s="2" t="s">
        <v>6</v>
      </c>
      <c r="C5" s="1" t="s">
        <v>1</v>
      </c>
      <c r="D5" s="1">
        <v>5</v>
      </c>
      <c r="E5" s="1">
        <v>0.5</v>
      </c>
      <c r="F5" s="7">
        <f>Table1[[#This Row],[CoreRange_ maxlongedge_inches]]*Table1[[#This Row],[CoreRange_maxshortedge_inches]]/144</f>
        <v>40.833333333333336</v>
      </c>
      <c r="G5" s="1">
        <v>98</v>
      </c>
      <c r="H5" s="1">
        <v>60</v>
      </c>
      <c r="I5" s="1"/>
      <c r="J5" s="1"/>
      <c r="K5" s="7">
        <f>Table1[[#This Row],[Technical_limit_longedge_inches]]*Table1[[#This Row],[Technical_limit_shortedge_inches]]/144</f>
        <v>49.166666666666664</v>
      </c>
      <c r="L5" s="1">
        <v>118</v>
      </c>
      <c r="M5" s="1">
        <v>60</v>
      </c>
      <c r="N5" s="1"/>
      <c r="O5" s="1"/>
    </row>
    <row r="6" spans="1:15" x14ac:dyDescent="0.25">
      <c r="A6" s="2" t="s">
        <v>20</v>
      </c>
      <c r="B6" s="2" t="s">
        <v>7</v>
      </c>
      <c r="C6" s="1" t="s">
        <v>1</v>
      </c>
      <c r="D6" s="1">
        <v>5</v>
      </c>
      <c r="E6" s="1">
        <v>1.1000000000000001</v>
      </c>
      <c r="F6" s="7">
        <f>Table1[[#This Row],[CoreRange_ maxlongedge_inches]]*Table1[[#This Row],[CoreRange_maxshortedge_inches]]/144</f>
        <v>41.25</v>
      </c>
      <c r="G6" s="1">
        <v>99</v>
      </c>
      <c r="H6" s="1">
        <v>60</v>
      </c>
      <c r="I6" s="1"/>
      <c r="J6" s="1"/>
      <c r="K6" s="7">
        <f>Table1[[#This Row],[Technical_limit_longedge_inches]]*Table1[[#This Row],[Technical_limit_shortedge_inches]]/144</f>
        <v>41.25</v>
      </c>
      <c r="L6" s="1">
        <v>99</v>
      </c>
      <c r="M6" s="1">
        <v>60</v>
      </c>
      <c r="N6" s="1"/>
      <c r="O6" s="1"/>
    </row>
    <row r="7" spans="1:15" x14ac:dyDescent="0.25">
      <c r="A7" s="2" t="s">
        <v>20</v>
      </c>
      <c r="B7" s="2" t="s">
        <v>8</v>
      </c>
      <c r="C7" s="1" t="s">
        <v>1</v>
      </c>
      <c r="D7" s="1">
        <v>5</v>
      </c>
      <c r="E7" s="1">
        <v>1.3</v>
      </c>
      <c r="F7" s="7">
        <f>Table1[[#This Row],[CoreRange_ maxlongedge_inches]]*Table1[[#This Row],[CoreRange_maxshortedge_inches]]/144</f>
        <v>48.333333333333336</v>
      </c>
      <c r="G7" s="1">
        <v>120</v>
      </c>
      <c r="H7" s="1">
        <v>58</v>
      </c>
      <c r="I7" s="1"/>
      <c r="J7" s="1"/>
      <c r="K7" s="7">
        <f>Table1[[#This Row],[Technical_limit_longedge_inches]]*Table1[[#This Row],[Technical_limit_shortedge_inches]]/144</f>
        <v>48.333333333333336</v>
      </c>
      <c r="L7" s="1">
        <v>120</v>
      </c>
      <c r="M7" s="1">
        <v>58</v>
      </c>
      <c r="N7" s="1"/>
      <c r="O7" s="1"/>
    </row>
    <row r="8" spans="1:15" x14ac:dyDescent="0.25">
      <c r="A8" s="2" t="s">
        <v>20</v>
      </c>
      <c r="B8" s="2" t="s">
        <v>9</v>
      </c>
      <c r="C8" s="1" t="s">
        <v>1</v>
      </c>
      <c r="D8" s="1">
        <v>6</v>
      </c>
      <c r="E8" s="1">
        <v>0.5</v>
      </c>
      <c r="F8" s="7">
        <f>Table1[[#This Row],[CoreRange_ maxlongedge_inches]]*Table1[[#This Row],[CoreRange_maxshortedge_inches]]/144</f>
        <v>49</v>
      </c>
      <c r="G8" s="1">
        <v>98</v>
      </c>
      <c r="H8" s="1">
        <v>72</v>
      </c>
      <c r="I8" s="1"/>
      <c r="J8" s="1"/>
      <c r="K8" s="7">
        <f>Table1[[#This Row],[Technical_limit_longedge_inches]]*Table1[[#This Row],[Technical_limit_shortedge_inches]]/144</f>
        <v>49</v>
      </c>
      <c r="L8" s="1">
        <v>98</v>
      </c>
      <c r="M8" s="1">
        <v>72</v>
      </c>
      <c r="N8" s="1">
        <v>118</v>
      </c>
      <c r="O8" s="1">
        <v>60</v>
      </c>
    </row>
    <row r="9" spans="1:15" x14ac:dyDescent="0.25">
      <c r="A9" s="2" t="s">
        <v>20</v>
      </c>
      <c r="B9" s="2" t="s">
        <v>10</v>
      </c>
      <c r="C9" s="1" t="s">
        <v>1</v>
      </c>
      <c r="D9" s="1">
        <v>6</v>
      </c>
      <c r="E9" s="1">
        <v>1.1000000000000001</v>
      </c>
      <c r="F9" s="7">
        <f>Table1[[#This Row],[CoreRange_ maxlongedge_inches]]*Table1[[#This Row],[CoreRange_maxshortedge_inches]]/144</f>
        <v>49.5</v>
      </c>
      <c r="G9" s="1">
        <v>99</v>
      </c>
      <c r="H9" s="1">
        <v>72</v>
      </c>
      <c r="I9" s="1"/>
      <c r="J9" s="1"/>
      <c r="K9" s="7">
        <f>Table1[[#This Row],[Technical_limit_longedge_inches]]*Table1[[#This Row],[Technical_limit_shortedge_inches]]/144</f>
        <v>49.5</v>
      </c>
      <c r="L9" s="1">
        <v>99</v>
      </c>
      <c r="M9" s="1">
        <v>72</v>
      </c>
      <c r="N9" s="1"/>
      <c r="O9" s="1"/>
    </row>
    <row r="10" spans="1:15" x14ac:dyDescent="0.25">
      <c r="A10" s="5" t="s">
        <v>20</v>
      </c>
      <c r="B10" s="5" t="s">
        <v>11</v>
      </c>
      <c r="C10" s="6" t="s">
        <v>1</v>
      </c>
      <c r="D10" s="6">
        <v>6</v>
      </c>
      <c r="E10" s="1">
        <v>1.3</v>
      </c>
      <c r="F10" s="7">
        <f>Table1[[#This Row],[CoreRange_ maxlongedge_inches]]*Table1[[#This Row],[CoreRange_maxshortedge_inches]]/144</f>
        <v>50.347222222222221</v>
      </c>
      <c r="G10" s="1">
        <v>125</v>
      </c>
      <c r="H10" s="1">
        <v>58</v>
      </c>
      <c r="I10" s="1"/>
      <c r="J10" s="1"/>
      <c r="K10" s="7">
        <f>Table1[[#This Row],[Technical_limit_longedge_inches]]*Table1[[#This Row],[Technical_limit_shortedge_inches]]/144</f>
        <v>50.347222222222221</v>
      </c>
      <c r="L10" s="1">
        <v>125</v>
      </c>
      <c r="M10" s="1">
        <v>58</v>
      </c>
      <c r="N10" s="1"/>
      <c r="O10" s="1"/>
    </row>
    <row r="11" spans="1:15" x14ac:dyDescent="0.25">
      <c r="A11" s="2" t="s">
        <v>20</v>
      </c>
      <c r="B11" s="2" t="s">
        <v>31</v>
      </c>
      <c r="C11" s="1" t="s">
        <v>1</v>
      </c>
      <c r="D11" s="1">
        <v>4</v>
      </c>
      <c r="E11" s="1">
        <v>0.5</v>
      </c>
      <c r="F11" s="7">
        <f>Table1[[#This Row],[CoreRange_ maxlongedge_inches]]*Table1[[#This Row],[CoreRange_maxshortedge_inches]]/144</f>
        <v>30</v>
      </c>
      <c r="G11" s="1">
        <v>90</v>
      </c>
      <c r="H11" s="1">
        <v>48</v>
      </c>
      <c r="I11" s="1"/>
      <c r="J11" s="1"/>
      <c r="K11" s="7">
        <f>Table1[[#This Row],[Technical_limit_longedge_inches]]*Table1[[#This Row],[Technical_limit_shortedge_inches]]/144</f>
        <v>30</v>
      </c>
      <c r="L11" s="1">
        <v>90</v>
      </c>
      <c r="M11" s="1">
        <v>48</v>
      </c>
      <c r="N11" s="1"/>
      <c r="O11" s="1"/>
    </row>
    <row r="12" spans="1:15" x14ac:dyDescent="0.25">
      <c r="A12" s="2" t="s">
        <v>20</v>
      </c>
      <c r="B12" s="2" t="s">
        <v>32</v>
      </c>
      <c r="C12" s="1" t="s">
        <v>1</v>
      </c>
      <c r="D12" s="1">
        <v>4</v>
      </c>
      <c r="E12" s="1">
        <v>1.1000000000000001</v>
      </c>
      <c r="F12" s="7">
        <f>Table1[[#This Row],[CoreRange_ maxlongedge_inches]]*Table1[[#This Row],[CoreRange_maxshortedge_inches]]/144</f>
        <v>30</v>
      </c>
      <c r="G12" s="1">
        <v>90</v>
      </c>
      <c r="H12" s="1">
        <v>48</v>
      </c>
      <c r="I12" s="1"/>
      <c r="J12" s="1"/>
      <c r="K12" s="7">
        <f>Table1[[#This Row],[Technical_limit_longedge_inches]]*Table1[[#This Row],[Technical_limit_shortedge_inches]]/144</f>
        <v>30</v>
      </c>
      <c r="L12" s="1">
        <v>90</v>
      </c>
      <c r="M12" s="1">
        <v>48</v>
      </c>
      <c r="N12" s="1"/>
      <c r="O12" s="1"/>
    </row>
    <row r="13" spans="1:15" x14ac:dyDescent="0.25">
      <c r="A13" s="5" t="s">
        <v>20</v>
      </c>
      <c r="B13" s="5" t="s">
        <v>33</v>
      </c>
      <c r="C13" s="6" t="s">
        <v>1</v>
      </c>
      <c r="D13" s="1">
        <v>4</v>
      </c>
      <c r="E13" s="1">
        <v>1.3</v>
      </c>
      <c r="F13" s="7">
        <f>Table1[[#This Row],[CoreRange_ maxlongedge_inches]]*Table1[[#This Row],[CoreRange_maxshortedge_inches]]/144</f>
        <v>30</v>
      </c>
      <c r="G13" s="1">
        <v>90</v>
      </c>
      <c r="H13" s="1">
        <v>48</v>
      </c>
      <c r="I13" s="1"/>
      <c r="J13" s="1"/>
      <c r="K13" s="7">
        <f>Table1[[#This Row],[Technical_limit_longedge_inches]]*Table1[[#This Row],[Technical_limit_shortedge_inches]]/144</f>
        <v>30</v>
      </c>
      <c r="L13" s="1">
        <v>90</v>
      </c>
      <c r="M13" s="1">
        <v>48</v>
      </c>
      <c r="N13" s="1"/>
      <c r="O13" s="1"/>
    </row>
    <row r="14" spans="1:15" x14ac:dyDescent="0.25">
      <c r="A14" s="2"/>
      <c r="B14" s="2"/>
      <c r="C14" s="6"/>
      <c r="D14" s="1"/>
      <c r="E14" s="1"/>
      <c r="F14" s="7"/>
      <c r="G14" s="1"/>
      <c r="H14" s="1"/>
      <c r="I14" s="1"/>
      <c r="J14" s="1"/>
      <c r="K14" s="7"/>
      <c r="L14" s="1"/>
      <c r="M14" s="1"/>
      <c r="N14" s="1"/>
      <c r="O14" s="1"/>
    </row>
    <row r="15" spans="1:15" x14ac:dyDescent="0.25">
      <c r="A15" s="2"/>
      <c r="B15" s="2"/>
      <c r="C15" s="6"/>
      <c r="D15" s="1"/>
      <c r="E15" s="1"/>
      <c r="F15" s="7"/>
      <c r="G15" s="1"/>
      <c r="H15" s="1"/>
      <c r="I15" s="1"/>
      <c r="J15" s="1"/>
      <c r="K15" s="7"/>
      <c r="L15" s="1"/>
      <c r="M15" s="1"/>
      <c r="N15" s="1"/>
      <c r="O15" s="1"/>
    </row>
    <row r="16" spans="1:15" x14ac:dyDescent="0.25">
      <c r="A16" s="2"/>
      <c r="B16" s="2"/>
      <c r="C16" s="6"/>
      <c r="D16" s="1"/>
      <c r="E16" s="1"/>
      <c r="F16" s="7"/>
      <c r="G16" s="1"/>
      <c r="H16" s="1"/>
      <c r="I16" s="1"/>
      <c r="J16" s="1"/>
      <c r="K16" s="7"/>
      <c r="L16" s="1"/>
      <c r="M16" s="1"/>
      <c r="N16" s="1"/>
      <c r="O16" s="1"/>
    </row>
    <row r="17" spans="1:15" x14ac:dyDescent="0.25">
      <c r="A17" s="2"/>
      <c r="B17" s="2"/>
      <c r="C17" s="1"/>
      <c r="D17" s="1"/>
      <c r="E17" s="1"/>
      <c r="F17" s="7"/>
      <c r="G17" s="1"/>
      <c r="H17" s="1"/>
      <c r="I17" s="1"/>
      <c r="J17" s="1"/>
      <c r="K17" s="7"/>
      <c r="L17" s="1"/>
      <c r="M17" s="1"/>
      <c r="N17" s="1"/>
      <c r="O17" s="1"/>
    </row>
    <row r="18" spans="1:15" x14ac:dyDescent="0.25">
      <c r="A18" s="2"/>
      <c r="B18" s="2"/>
      <c r="C18" s="1"/>
      <c r="D18" s="1"/>
      <c r="E18" s="1"/>
      <c r="F18" s="7"/>
      <c r="G18" s="1"/>
      <c r="H18" s="1"/>
      <c r="I18" s="1"/>
      <c r="J18" s="1"/>
      <c r="K18" s="7"/>
      <c r="L18" s="1"/>
      <c r="M18" s="1"/>
      <c r="N18" s="1"/>
      <c r="O18" s="1"/>
    </row>
    <row r="19" spans="1:15" x14ac:dyDescent="0.25">
      <c r="A19" s="2"/>
      <c r="B19" s="5"/>
      <c r="C19" s="1"/>
      <c r="D19" s="6"/>
      <c r="E19" s="1"/>
      <c r="F19" s="7"/>
      <c r="G19" s="1"/>
      <c r="H19" s="1"/>
      <c r="I19" s="1"/>
      <c r="J19" s="1"/>
      <c r="K19" s="7"/>
      <c r="L19" s="1"/>
      <c r="M19" s="1"/>
      <c r="N19" s="1"/>
      <c r="O19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DC83-9E95-4295-93A6-952744CE4B9C}">
  <dimension ref="A1:I19"/>
  <sheetViews>
    <sheetView workbookViewId="0">
      <selection activeCell="H12" sqref="H12"/>
    </sheetView>
  </sheetViews>
  <sheetFormatPr defaultRowHeight="15" x14ac:dyDescent="0.25"/>
  <cols>
    <col min="2" max="2" width="25" customWidth="1"/>
    <col min="3" max="3" width="17.5703125" customWidth="1"/>
    <col min="4" max="4" width="13.140625" customWidth="1"/>
    <col min="5" max="5" width="15.5703125" customWidth="1"/>
    <col min="6" max="6" width="22.5703125" customWidth="1"/>
    <col min="7" max="7" width="26.42578125" customWidth="1"/>
    <col min="8" max="8" width="26.85546875" customWidth="1"/>
    <col min="9" max="9" width="35.28515625" customWidth="1"/>
    <col min="10" max="10" width="24.28515625" customWidth="1"/>
  </cols>
  <sheetData>
    <row r="1" spans="1:9" x14ac:dyDescent="0.25">
      <c r="A1" s="8" t="s">
        <v>19</v>
      </c>
      <c r="B1" s="3" t="s">
        <v>2</v>
      </c>
      <c r="C1" s="4" t="s">
        <v>0</v>
      </c>
      <c r="D1" s="4" t="s">
        <v>12</v>
      </c>
      <c r="E1" s="4" t="s">
        <v>21</v>
      </c>
      <c r="F1" s="4" t="s">
        <v>29</v>
      </c>
      <c r="G1" s="4" t="s">
        <v>30</v>
      </c>
      <c r="H1" s="4" t="s">
        <v>23</v>
      </c>
      <c r="I1" s="4" t="s">
        <v>24</v>
      </c>
    </row>
    <row r="2" spans="1:9" x14ac:dyDescent="0.25">
      <c r="A2" s="2" t="s">
        <v>20</v>
      </c>
      <c r="B2" s="2" t="s">
        <v>3</v>
      </c>
      <c r="C2" s="1" t="s">
        <v>22</v>
      </c>
      <c r="D2" s="1">
        <v>3</v>
      </c>
      <c r="E2" s="1">
        <v>0.5</v>
      </c>
      <c r="F2" s="9">
        <v>20</v>
      </c>
      <c r="G2" s="9">
        <v>20</v>
      </c>
      <c r="H2" s="9">
        <v>80</v>
      </c>
      <c r="I2" s="9">
        <v>80</v>
      </c>
    </row>
    <row r="3" spans="1:9" x14ac:dyDescent="0.25">
      <c r="A3" s="2" t="s">
        <v>20</v>
      </c>
      <c r="B3" s="2" t="s">
        <v>4</v>
      </c>
      <c r="C3" s="1" t="s">
        <v>22</v>
      </c>
      <c r="D3" s="1">
        <v>3</v>
      </c>
      <c r="E3" s="1">
        <v>1.1000000000000001</v>
      </c>
      <c r="F3" s="9">
        <v>20</v>
      </c>
      <c r="G3" s="9">
        <v>20</v>
      </c>
      <c r="H3" s="9">
        <v>80</v>
      </c>
      <c r="I3" s="9">
        <v>80</v>
      </c>
    </row>
    <row r="4" spans="1:9" x14ac:dyDescent="0.25">
      <c r="A4" s="2" t="s">
        <v>20</v>
      </c>
      <c r="B4" s="2" t="s">
        <v>5</v>
      </c>
      <c r="C4" s="1" t="s">
        <v>22</v>
      </c>
      <c r="D4" s="1">
        <v>3</v>
      </c>
      <c r="E4" s="1">
        <v>1.3</v>
      </c>
      <c r="F4" s="9">
        <v>20</v>
      </c>
      <c r="G4" s="9">
        <v>20</v>
      </c>
      <c r="H4" s="9">
        <v>80</v>
      </c>
      <c r="I4" s="9">
        <v>80</v>
      </c>
    </row>
    <row r="5" spans="1:9" x14ac:dyDescent="0.25">
      <c r="A5" s="2" t="s">
        <v>20</v>
      </c>
      <c r="B5" s="2" t="s">
        <v>6</v>
      </c>
      <c r="C5" s="1" t="s">
        <v>22</v>
      </c>
      <c r="D5" s="1">
        <v>5</v>
      </c>
      <c r="E5" s="1">
        <v>0.5</v>
      </c>
      <c r="F5" s="9">
        <v>40</v>
      </c>
      <c r="G5" s="9">
        <v>40</v>
      </c>
      <c r="H5" s="9">
        <v>94</v>
      </c>
      <c r="I5" s="9">
        <v>94</v>
      </c>
    </row>
    <row r="6" spans="1:9" x14ac:dyDescent="0.25">
      <c r="A6" s="2" t="s">
        <v>20</v>
      </c>
      <c r="B6" s="2" t="s">
        <v>7</v>
      </c>
      <c r="C6" s="1" t="s">
        <v>22</v>
      </c>
      <c r="D6" s="1">
        <v>5</v>
      </c>
      <c r="E6" s="1">
        <v>1.1000000000000001</v>
      </c>
      <c r="F6" s="9">
        <v>40</v>
      </c>
      <c r="G6" s="9">
        <v>40</v>
      </c>
      <c r="H6" s="9">
        <v>94</v>
      </c>
      <c r="I6" s="9">
        <v>94</v>
      </c>
    </row>
    <row r="7" spans="1:9" x14ac:dyDescent="0.25">
      <c r="A7" s="2" t="s">
        <v>20</v>
      </c>
      <c r="B7" s="2" t="s">
        <v>8</v>
      </c>
      <c r="C7" s="1" t="s">
        <v>22</v>
      </c>
      <c r="D7" s="1">
        <v>5</v>
      </c>
      <c r="E7" s="1">
        <v>1.3</v>
      </c>
      <c r="F7" s="9">
        <v>40</v>
      </c>
      <c r="G7" s="9">
        <v>40</v>
      </c>
      <c r="H7" s="9">
        <v>94</v>
      </c>
      <c r="I7" s="9">
        <v>94</v>
      </c>
    </row>
    <row r="8" spans="1:9" x14ac:dyDescent="0.25">
      <c r="A8" s="2" t="s">
        <v>20</v>
      </c>
      <c r="B8" s="2" t="s">
        <v>9</v>
      </c>
      <c r="C8" s="1" t="s">
        <v>22</v>
      </c>
      <c r="D8" s="1">
        <v>6</v>
      </c>
      <c r="E8" s="1">
        <v>0.5</v>
      </c>
      <c r="F8" s="7">
        <v>45.69</v>
      </c>
      <c r="G8" s="7">
        <v>45.69</v>
      </c>
      <c r="H8" s="9">
        <v>94</v>
      </c>
      <c r="I8" s="9">
        <v>94</v>
      </c>
    </row>
    <row r="9" spans="1:9" x14ac:dyDescent="0.25">
      <c r="A9" s="2" t="s">
        <v>20</v>
      </c>
      <c r="B9" s="2" t="s">
        <v>10</v>
      </c>
      <c r="C9" s="1" t="s">
        <v>22</v>
      </c>
      <c r="D9" s="1">
        <v>6</v>
      </c>
      <c r="E9" s="1">
        <v>1.1000000000000001</v>
      </c>
      <c r="F9" s="7">
        <v>45.69</v>
      </c>
      <c r="G9" s="7">
        <v>45.69</v>
      </c>
      <c r="H9" s="9">
        <v>94</v>
      </c>
      <c r="I9" s="9">
        <v>94</v>
      </c>
    </row>
    <row r="10" spans="1:9" x14ac:dyDescent="0.25">
      <c r="A10" s="5" t="s">
        <v>20</v>
      </c>
      <c r="B10" s="5" t="s">
        <v>11</v>
      </c>
      <c r="C10" s="1" t="s">
        <v>22</v>
      </c>
      <c r="D10" s="6">
        <v>6</v>
      </c>
      <c r="E10" s="6">
        <v>1.3</v>
      </c>
      <c r="F10" s="7">
        <v>45.69</v>
      </c>
      <c r="G10" s="7">
        <v>45.69</v>
      </c>
      <c r="H10" s="10">
        <v>94</v>
      </c>
      <c r="I10" s="10">
        <v>94</v>
      </c>
    </row>
    <row r="11" spans="1:9" x14ac:dyDescent="0.25">
      <c r="A11" s="2" t="s">
        <v>20</v>
      </c>
      <c r="B11" s="2" t="s">
        <v>31</v>
      </c>
      <c r="C11" s="1" t="s">
        <v>22</v>
      </c>
      <c r="D11" s="1">
        <v>4</v>
      </c>
      <c r="E11" s="1">
        <v>0.5</v>
      </c>
      <c r="F11" s="7">
        <v>28</v>
      </c>
      <c r="G11" s="1">
        <v>28</v>
      </c>
      <c r="H11" s="9">
        <v>90</v>
      </c>
      <c r="I11" s="9">
        <v>90</v>
      </c>
    </row>
    <row r="12" spans="1:9" x14ac:dyDescent="0.25">
      <c r="A12" s="2" t="s">
        <v>20</v>
      </c>
      <c r="B12" s="2" t="s">
        <v>32</v>
      </c>
      <c r="C12" s="1" t="s">
        <v>22</v>
      </c>
      <c r="D12" s="1">
        <v>4</v>
      </c>
      <c r="E12" s="1">
        <v>1.1000000000000001</v>
      </c>
      <c r="F12" s="7">
        <v>28</v>
      </c>
      <c r="G12" s="1">
        <v>28</v>
      </c>
      <c r="H12" s="9">
        <v>90</v>
      </c>
      <c r="I12" s="9">
        <v>90</v>
      </c>
    </row>
    <row r="13" spans="1:9" x14ac:dyDescent="0.25">
      <c r="A13" s="5" t="s">
        <v>20</v>
      </c>
      <c r="B13" s="5" t="s">
        <v>33</v>
      </c>
      <c r="C13" s="1" t="s">
        <v>22</v>
      </c>
      <c r="D13" s="1">
        <v>4</v>
      </c>
      <c r="E13" s="6">
        <v>1.3</v>
      </c>
      <c r="F13" s="7">
        <v>28</v>
      </c>
      <c r="G13" s="1">
        <v>28</v>
      </c>
      <c r="H13" s="9">
        <v>90</v>
      </c>
      <c r="I13" s="9">
        <v>90</v>
      </c>
    </row>
    <row r="14" spans="1:9" x14ac:dyDescent="0.25">
      <c r="A14" s="2"/>
      <c r="B14" s="2"/>
      <c r="C14" s="6"/>
      <c r="D14" s="1"/>
      <c r="E14" s="1"/>
      <c r="F14" s="7"/>
      <c r="G14" s="1"/>
      <c r="H14" s="9"/>
      <c r="I14" s="9"/>
    </row>
    <row r="15" spans="1:9" x14ac:dyDescent="0.25">
      <c r="A15" s="2"/>
      <c r="B15" s="2"/>
      <c r="C15" s="6"/>
      <c r="D15" s="1"/>
      <c r="E15" s="1"/>
      <c r="F15" s="7"/>
      <c r="G15" s="1"/>
      <c r="H15" s="9"/>
      <c r="I15" s="9"/>
    </row>
    <row r="16" spans="1:9" x14ac:dyDescent="0.25">
      <c r="A16" s="2"/>
      <c r="B16" s="2"/>
      <c r="C16" s="6"/>
      <c r="D16" s="1"/>
      <c r="E16" s="1"/>
      <c r="F16" s="7"/>
      <c r="G16" s="1"/>
      <c r="H16" s="9"/>
      <c r="I16" s="9"/>
    </row>
    <row r="17" spans="1:9" x14ac:dyDescent="0.25">
      <c r="A17" s="2"/>
      <c r="B17" s="2"/>
      <c r="C17" s="1"/>
      <c r="D17" s="1"/>
      <c r="E17" s="1"/>
      <c r="F17" s="7"/>
      <c r="G17" s="1"/>
      <c r="H17" s="9"/>
      <c r="I17" s="9"/>
    </row>
    <row r="18" spans="1:9" x14ac:dyDescent="0.25">
      <c r="A18" s="2"/>
      <c r="B18" s="2"/>
      <c r="C18" s="1"/>
      <c r="D18" s="1"/>
      <c r="E18" s="1"/>
      <c r="F18" s="7"/>
      <c r="G18" s="1"/>
      <c r="H18" s="9"/>
      <c r="I18" s="9"/>
    </row>
    <row r="19" spans="1:9" x14ac:dyDescent="0.25">
      <c r="A19" s="2"/>
      <c r="B19" s="5"/>
      <c r="C19" s="1"/>
      <c r="D19" s="6"/>
      <c r="E19" s="6"/>
      <c r="F19" s="7"/>
      <c r="G19" s="6"/>
      <c r="H19" s="9"/>
      <c r="I19" s="1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1be25f-b2fc-4437-ac28-9b63a2a6eb24">
      <Terms xmlns="http://schemas.microsoft.com/office/infopath/2007/PartnerControls"/>
    </lcf76f155ced4ddcb4097134ff3c332f>
    <TaxCatchAll xmlns="63da1fdb-95da-4a03-a2ac-dcaabea38a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EB33AB64FFCD4AA4628371E25A8D85" ma:contentTypeVersion="12" ma:contentTypeDescription="Create a new document." ma:contentTypeScope="" ma:versionID="796bff8b10082fc3cc57856a82f602f3">
  <xsd:schema xmlns:xsd="http://www.w3.org/2001/XMLSchema" xmlns:xs="http://www.w3.org/2001/XMLSchema" xmlns:p="http://schemas.microsoft.com/office/2006/metadata/properties" xmlns:ns2="891be25f-b2fc-4437-ac28-9b63a2a6eb24" xmlns:ns3="63da1fdb-95da-4a03-a2ac-dcaabea38ae8" targetNamespace="http://schemas.microsoft.com/office/2006/metadata/properties" ma:root="true" ma:fieldsID="649ae9b12cda5c629f22bcf27b9f706f" ns2:_="" ns3:_="">
    <xsd:import namespace="891be25f-b2fc-4437-ac28-9b63a2a6eb24"/>
    <xsd:import namespace="63da1fdb-95da-4a03-a2ac-dcaabea38a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be25f-b2fc-4437-ac28-9b63a2a6eb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fbb7f83-e38f-4fdc-ab8e-bbf17623b7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a1fdb-95da-4a03-a2ac-dcaabea38ae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8497726-6557-4186-bb27-57db0bc17c6e}" ma:internalName="TaxCatchAll" ma:showField="CatchAllData" ma:web="63da1fdb-95da-4a03-a2ac-dcaabea38a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5DF2C4-5AEB-4283-88B9-E34AFF223611}">
  <ds:schemaRefs>
    <ds:schemaRef ds:uri="http://schemas.microsoft.com/office/2006/metadata/properties"/>
    <ds:schemaRef ds:uri="http://schemas.microsoft.com/office/infopath/2007/PartnerControls"/>
    <ds:schemaRef ds:uri="891be25f-b2fc-4437-ac28-9b63a2a6eb24"/>
    <ds:schemaRef ds:uri="63da1fdb-95da-4a03-a2ac-dcaabea38ae8"/>
  </ds:schemaRefs>
</ds:datastoreItem>
</file>

<file path=customXml/itemProps2.xml><?xml version="1.0" encoding="utf-8"?>
<ds:datastoreItem xmlns:ds="http://schemas.openxmlformats.org/officeDocument/2006/customXml" ds:itemID="{F1BFF9EE-31C6-459B-B806-7494374641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be25f-b2fc-4437-ac28-9b63a2a6eb24"/>
    <ds:schemaRef ds:uri="63da1fdb-95da-4a03-a2ac-dcaabea38a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AC9F8B-5315-457E-A63B-9DC1440622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tempered</vt:lpstr>
      <vt:lpstr>annealed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Biega</dc:creator>
  <cp:lastModifiedBy>Kyle Biega</cp:lastModifiedBy>
  <dcterms:created xsi:type="dcterms:W3CDTF">2025-10-07T16:19:48Z</dcterms:created>
  <dcterms:modified xsi:type="dcterms:W3CDTF">2026-10-07T16:52:29Z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0x01010099EB33AB64FFCD4AA4628371E25A8D85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